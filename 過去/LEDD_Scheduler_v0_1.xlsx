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yamamoto/app-develop/DopaPlan/"/>
    </mc:Choice>
  </mc:AlternateContent>
  <xr:revisionPtr revIDLastSave="0" documentId="13_ncr:1_{4FCD5B06-9479-3042-9CA2-0EC7F4192FA9}" xr6:coauthVersionLast="47" xr6:coauthVersionMax="47" xr10:uidLastSave="{00000000-0000-0000-0000-000000000000}"/>
  <bookViews>
    <workbookView xWindow="240" yWindow="500" windowWidth="37220" windowHeight="17980" activeTab="2" xr2:uid="{00000000-000D-0000-FFFF-FFFF00000000}"/>
  </bookViews>
  <sheets>
    <sheet name="DrugMaster" sheetId="1" r:id="rId1"/>
    <sheet name="Input" sheetId="2" r:id="rId2"/>
    <sheet name="Output" sheetId="3" r:id="rId3"/>
  </sheets>
  <calcPr calcId="124519"/>
</workbook>
</file>

<file path=xl/sharedStrings.xml><?xml version="1.0" encoding="utf-8"?>
<sst xmlns="http://schemas.openxmlformats.org/spreadsheetml/2006/main" count="177" uniqueCount="90">
  <si>
    <t>DrugID</t>
  </si>
  <si>
    <t>DisplayName</t>
  </si>
  <si>
    <t>Category</t>
  </si>
  <si>
    <t>Unit</t>
  </si>
  <si>
    <t>LEDD_Mode</t>
  </si>
  <si>
    <t>LEDD_Factor</t>
  </si>
  <si>
    <t>LDOPA_Multiplier</t>
  </si>
  <si>
    <t>MaxSingleDose_mg</t>
  </si>
  <si>
    <t>MaxDailyDose_mg</t>
  </si>
  <si>
    <t>Warnings</t>
  </si>
  <si>
    <t>IsActive</t>
  </si>
  <si>
    <t>LDOPA_IR</t>
  </si>
  <si>
    <t>レボドパ/カルビドパ(IR)</t>
  </si>
  <si>
    <t>LDOPA</t>
  </si>
  <si>
    <t>mg</t>
  </si>
  <si>
    <t>DIRECT</t>
  </si>
  <si>
    <t>-</t>
  </si>
  <si>
    <t>LDOPA_BEN_IR</t>
  </si>
  <si>
    <t>レボドパ/ベンセラジド(IR)</t>
  </si>
  <si>
    <t>LDOPA_ER</t>
  </si>
  <si>
    <t>レボドパ徐放(ER)</t>
  </si>
  <si>
    <t>単純換算不可</t>
  </si>
  <si>
    <t>PRAMIPEXOLE</t>
  </si>
  <si>
    <t>プラミペキソール</t>
  </si>
  <si>
    <t>AGONIST</t>
  </si>
  <si>
    <t>ROPINIROLE</t>
  </si>
  <si>
    <t>ロピニロール</t>
  </si>
  <si>
    <t>ROTIGOTINE</t>
  </si>
  <si>
    <t>ロチゴチン貼付</t>
  </si>
  <si>
    <t>patch</t>
  </si>
  <si>
    <t>24hr持続</t>
  </si>
  <si>
    <t>SELEGILINE</t>
  </si>
  <si>
    <t>セレギリン</t>
  </si>
  <si>
    <t>MAOB</t>
  </si>
  <si>
    <t>mg/day</t>
  </si>
  <si>
    <t>RASAGILINE</t>
  </si>
  <si>
    <t>ラサギリン</t>
  </si>
  <si>
    <t>ENTACAPONE</t>
  </si>
  <si>
    <t>エンタカポン</t>
  </si>
  <si>
    <t>COMT</t>
  </si>
  <si>
    <t>MULTIPLY_LDOPA</t>
  </si>
  <si>
    <t>LDOPA併用</t>
  </si>
  <si>
    <t>OPICAPONE</t>
  </si>
  <si>
    <t>オピカポン</t>
  </si>
  <si>
    <t>AMANTADINE</t>
  </si>
  <si>
    <t>アマンタジン</t>
  </si>
  <si>
    <t>OTHER</t>
  </si>
  <si>
    <t>FIXED</t>
  </si>
  <si>
    <t>LEDD計算 &amp; スケジュール提案（医師向け）</t>
  </si>
  <si>
    <t>本ツールは診療補助目的であり治療方針を決定するものではありません。ER製剤等は単純換算不可。副作用・禁忌は別途確認してください。</t>
  </si>
  <si>
    <t>起床</t>
  </si>
  <si>
    <t>06:00</t>
  </si>
  <si>
    <t>就寝</t>
  </si>
  <si>
    <t>23:00</t>
  </si>
  <si>
    <t>朝食</t>
  </si>
  <si>
    <t>昼食</t>
  </si>
  <si>
    <t>夕食</t>
  </si>
  <si>
    <t>wearing-off</t>
  </si>
  <si>
    <t>ジスキネジア</t>
  </si>
  <si>
    <t>朝OFF/delayed-on</t>
  </si>
  <si>
    <t>夜間〜早朝OFF</t>
  </si>
  <si>
    <t>服薬回数を減らしたい</t>
  </si>
  <si>
    <t>眠気/精神症状が心配</t>
  </si>
  <si>
    <t>Drug</t>
  </si>
  <si>
    <t>Time1</t>
  </si>
  <si>
    <t>Time2</t>
  </si>
  <si>
    <t>Time3</t>
  </si>
  <si>
    <t>Time4</t>
  </si>
  <si>
    <t>Time5</t>
  </si>
  <si>
    <t>Notes</t>
  </si>
  <si>
    <t>LEDD</t>
  </si>
  <si>
    <t>Results</t>
  </si>
  <si>
    <t>LEDD(LDOPA調整後)</t>
  </si>
  <si>
    <t>LEDD(Agonist)</t>
  </si>
  <si>
    <t>LEDD(Other)</t>
  </si>
  <si>
    <t>LEDD Total</t>
  </si>
  <si>
    <t>Plan A（均等割り）</t>
  </si>
  <si>
    <t>Plan B（OFF対策）</t>
  </si>
  <si>
    <t>Plan C（ピーク抑制）</t>
  </si>
  <si>
    <t>Dose（1回量）</t>
    <phoneticPr fontId="4"/>
  </si>
  <si>
    <t>Freq（回数）</t>
    <rPh sb="5" eb="7">
      <t xml:space="preserve">カイスウ </t>
    </rPh>
    <phoneticPr fontId="4"/>
  </si>
  <si>
    <t>LDOPA</t>
    <phoneticPr fontId="4"/>
  </si>
  <si>
    <t>AGONIST</t>
    <phoneticPr fontId="4"/>
  </si>
  <si>
    <t>COMT</t>
    <phoneticPr fontId="4"/>
  </si>
  <si>
    <t>定時</t>
  </si>
  <si>
    <t>起床時</t>
  </si>
  <si>
    <t>間隔短縮</t>
  </si>
  <si>
    <t>回数増</t>
  </si>
  <si>
    <t>固定(自動)</t>
  </si>
  <si>
    <t>併用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</si>
</sst>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h:mm"/>
  </numFmts>
  <fonts count="6">
    <font>
      <sz val="11"/>
      <color theme="1"/>
      <name val="ＭＳ Ｐゴシック"/>
      <family val="2"/>
      <scheme val="minor"/>
    </font>
    <font>
      <b/>
      <sz val="14"/>
      <color theme="1"/>
      <name val="ＭＳ Ｐゴシック"/>
      <family val="2"/>
      <scheme val="minor"/>
    </font>
    <font>
      <i/>
      <sz val="11"/>
      <color rgb="FFFF0000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rgb="FF000000"/>
      <name val="MS Gothic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3" fillId="0" borderId="0" xfId="0" applyFont="1"/>
    <xf numFmtId="176" fontId="0" fillId="0" borderId="1" xfId="0" applyNumberFormat="1" applyBorder="1"/>
    <xf numFmtId="0" fontId="0" fillId="0" borderId="1" xfId="0" applyBorder="1"/>
    <xf numFmtId="0" fontId="3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wrapText="1"/>
    </xf>
    <xf numFmtId="0" fontId="3" fillId="3" borderId="1" xfId="0" applyFont="1" applyFill="1" applyBorder="1" applyAlignment="1">
      <alignment horizontal="center"/>
    </xf>
    <xf numFmtId="20" fontId="0" fillId="0" borderId="0" xfId="0" applyNumberFormat="1"/>
    <xf numFmtId="20" fontId="3" fillId="0" borderId="0" xfId="0" applyNumberFormat="1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3</xdr:row>
          <xdr:rowOff>0</xdr:rowOff>
        </xdr:from>
        <xdr:to>
          <xdr:col>7</xdr:col>
          <xdr:colOff>698500</xdr:colOff>
          <xdr:row>5</xdr:row>
          <xdr:rowOff>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B55278B0-5915-A817-9227-E95B27F3A6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S Gothic" charset="-128"/>
                  <a:ea typeface="MS Gothic" charset="-128"/>
                </a:rPr>
                <a:t>計算・提案生成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63500</xdr:colOff>
          <xdr:row>5</xdr:row>
          <xdr:rowOff>152400</xdr:rowOff>
        </xdr:from>
        <xdr:to>
          <xdr:col>7</xdr:col>
          <xdr:colOff>12700</xdr:colOff>
          <xdr:row>8</xdr:row>
          <xdr:rowOff>0</xdr:rowOff>
        </xdr:to>
        <xdr:sp macro="" textlink="">
          <xdr:nvSpPr>
            <xdr:cNvPr id="1039" name="Button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667772A1-ECAB-28DA-5129-1E9E8CEF94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 charset="-128"/>
                  <a:ea typeface="ＭＳ Ｐゴシック" charset="-128"/>
                </a:rPr>
                <a:t>リセット</a:t>
              </a:r>
            </a:p>
          </xdr:txBody>
        </xdr:sp>
        <xdr:clientData fPrintsWithSheet="0"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DrugMaster" displayName="tblDrugMaster" ref="A1:K12" totalsRowShown="0">
  <autoFilter ref="A1:K12" xr:uid="{00000000-0009-0000-0100-000001000000}"/>
  <tableColumns count="11">
    <tableColumn id="1" xr3:uid="{00000000-0010-0000-0000-000001000000}" name="DrugID"/>
    <tableColumn id="2" xr3:uid="{00000000-0010-0000-0000-000002000000}" name="DisplayName"/>
    <tableColumn id="3" xr3:uid="{00000000-0010-0000-0000-000003000000}" name="Category"/>
    <tableColumn id="4" xr3:uid="{00000000-0010-0000-0000-000004000000}" name="Unit"/>
    <tableColumn id="5" xr3:uid="{00000000-0010-0000-0000-000005000000}" name="LEDD_Mode"/>
    <tableColumn id="6" xr3:uid="{00000000-0010-0000-0000-000006000000}" name="LEDD_Factor"/>
    <tableColumn id="7" xr3:uid="{00000000-0010-0000-0000-000007000000}" name="LDOPA_Multiplier"/>
    <tableColumn id="8" xr3:uid="{00000000-0010-0000-0000-000008000000}" name="MaxSingleDose_mg"/>
    <tableColumn id="9" xr3:uid="{00000000-0010-0000-0000-000009000000}" name="MaxDailyDose_mg"/>
    <tableColumn id="10" xr3:uid="{00000000-0010-0000-0000-00000A000000}" name="Warnings"/>
    <tableColumn id="11" xr3:uid="{00000000-0010-0000-0000-00000B000000}" name="IsActiv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Rx" displayName="tblRx" ref="A12:K17" totalsRowShown="0">
  <autoFilter ref="A12:K17" xr:uid="{00000000-0009-0000-0100-000002000000}"/>
  <tableColumns count="11">
    <tableColumn id="1" xr3:uid="{00000000-0010-0000-0100-000001000000}" name="Drug"/>
    <tableColumn id="2" xr3:uid="{00000000-0010-0000-0100-000002000000}" name="Dose（1回量）"/>
    <tableColumn id="3" xr3:uid="{00000000-0010-0000-0100-000003000000}" name="Freq（回数）"/>
    <tableColumn id="4" xr3:uid="{00000000-0010-0000-0100-000004000000}" name="Time1"/>
    <tableColumn id="5" xr3:uid="{00000000-0010-0000-0100-000005000000}" name="Time2"/>
    <tableColumn id="6" xr3:uid="{00000000-0010-0000-0100-000006000000}" name="Time3"/>
    <tableColumn id="7" xr3:uid="{00000000-0010-0000-0100-000007000000}" name="Time4"/>
    <tableColumn id="8" xr3:uid="{00000000-0010-0000-0100-000008000000}" name="Time5"/>
    <tableColumn id="9" xr3:uid="{00000000-0010-0000-0100-000009000000}" name="Notes"/>
    <tableColumn id="10" xr3:uid="{00000000-0010-0000-0100-00000A000000}" name="LEDD"/>
    <tableColumn id="11" xr3:uid="{00000000-0010-0000-0100-00000B000000}" name="Categor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openxmlformats.org/officeDocument/2006/relationships/table" Target="../tables/table2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2"/>
  <sheetViews>
    <sheetView zoomScale="160" workbookViewId="0"/>
  </sheetViews>
  <sheetFormatPr baseColWidth="10" defaultColWidth="8.83203125" defaultRowHeight="14"/>
  <cols>
    <col min="1" max="1" width="15.6640625" customWidth="1"/>
    <col min="2" max="2" width="30.66406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1</v>
      </c>
      <c r="G2">
        <v>1</v>
      </c>
      <c r="H2">
        <v>200</v>
      </c>
      <c r="I2">
        <v>1200</v>
      </c>
      <c r="J2" t="s">
        <v>16</v>
      </c>
      <c r="K2" t="b">
        <v>1</v>
      </c>
    </row>
    <row r="3" spans="1:11">
      <c r="A3" t="s">
        <v>17</v>
      </c>
      <c r="B3" t="s">
        <v>18</v>
      </c>
      <c r="C3" t="s">
        <v>13</v>
      </c>
      <c r="D3" t="s">
        <v>14</v>
      </c>
      <c r="E3" t="s">
        <v>15</v>
      </c>
      <c r="F3">
        <v>1</v>
      </c>
      <c r="G3">
        <v>1</v>
      </c>
      <c r="H3">
        <v>200</v>
      </c>
      <c r="I3">
        <v>1200</v>
      </c>
      <c r="J3" t="s">
        <v>16</v>
      </c>
      <c r="K3" t="b">
        <v>1</v>
      </c>
    </row>
    <row r="4" spans="1:11">
      <c r="A4" t="s">
        <v>19</v>
      </c>
      <c r="B4" t="s">
        <v>20</v>
      </c>
      <c r="C4" t="s">
        <v>13</v>
      </c>
      <c r="D4" t="s">
        <v>14</v>
      </c>
      <c r="E4" t="s">
        <v>15</v>
      </c>
      <c r="F4">
        <v>0.7</v>
      </c>
      <c r="G4">
        <v>1</v>
      </c>
      <c r="H4">
        <v>400</v>
      </c>
      <c r="I4">
        <v>1600</v>
      </c>
      <c r="J4" t="s">
        <v>21</v>
      </c>
      <c r="K4" t="b">
        <v>1</v>
      </c>
    </row>
    <row r="5" spans="1:11">
      <c r="A5" t="s">
        <v>22</v>
      </c>
      <c r="B5" t="s">
        <v>23</v>
      </c>
      <c r="C5" t="s">
        <v>24</v>
      </c>
      <c r="D5" t="s">
        <v>14</v>
      </c>
      <c r="E5" t="s">
        <v>15</v>
      </c>
      <c r="F5">
        <v>100</v>
      </c>
      <c r="G5">
        <v>1</v>
      </c>
      <c r="H5">
        <v>4.5</v>
      </c>
      <c r="I5">
        <v>4.5</v>
      </c>
      <c r="J5" t="s">
        <v>16</v>
      </c>
      <c r="K5" t="b">
        <v>1</v>
      </c>
    </row>
    <row r="6" spans="1:11">
      <c r="A6" t="s">
        <v>25</v>
      </c>
      <c r="B6" t="s">
        <v>26</v>
      </c>
      <c r="C6" t="s">
        <v>24</v>
      </c>
      <c r="D6" t="s">
        <v>14</v>
      </c>
      <c r="E6" t="s">
        <v>15</v>
      </c>
      <c r="F6">
        <v>20</v>
      </c>
      <c r="G6">
        <v>1</v>
      </c>
      <c r="H6">
        <v>15</v>
      </c>
      <c r="I6">
        <v>15</v>
      </c>
      <c r="J6" t="s">
        <v>16</v>
      </c>
      <c r="K6" t="b">
        <v>1</v>
      </c>
    </row>
    <row r="7" spans="1:11">
      <c r="A7" t="s">
        <v>27</v>
      </c>
      <c r="B7" t="s">
        <v>28</v>
      </c>
      <c r="C7" t="s">
        <v>24</v>
      </c>
      <c r="D7" t="s">
        <v>29</v>
      </c>
      <c r="E7" t="s">
        <v>15</v>
      </c>
      <c r="F7">
        <v>20</v>
      </c>
      <c r="G7">
        <v>1</v>
      </c>
      <c r="H7">
        <v>18</v>
      </c>
      <c r="I7">
        <v>18</v>
      </c>
      <c r="J7" t="s">
        <v>30</v>
      </c>
      <c r="K7" t="b">
        <v>1</v>
      </c>
    </row>
    <row r="8" spans="1:11">
      <c r="A8" t="s">
        <v>31</v>
      </c>
      <c r="B8" t="s">
        <v>32</v>
      </c>
      <c r="C8" t="s">
        <v>33</v>
      </c>
      <c r="D8" t="s">
        <v>34</v>
      </c>
      <c r="E8" t="s">
        <v>15</v>
      </c>
      <c r="F8">
        <v>10</v>
      </c>
      <c r="G8">
        <v>1</v>
      </c>
      <c r="H8">
        <v>10</v>
      </c>
      <c r="I8">
        <v>10</v>
      </c>
      <c r="J8" t="s">
        <v>16</v>
      </c>
      <c r="K8" t="b">
        <v>1</v>
      </c>
    </row>
    <row r="9" spans="1:11">
      <c r="A9" t="s">
        <v>35</v>
      </c>
      <c r="B9" t="s">
        <v>36</v>
      </c>
      <c r="C9" t="s">
        <v>33</v>
      </c>
      <c r="D9" t="s">
        <v>34</v>
      </c>
      <c r="E9" t="s">
        <v>15</v>
      </c>
      <c r="F9">
        <v>100</v>
      </c>
      <c r="G9">
        <v>1</v>
      </c>
      <c r="H9">
        <v>1</v>
      </c>
      <c r="I9">
        <v>1</v>
      </c>
      <c r="J9" t="s">
        <v>16</v>
      </c>
      <c r="K9" t="b">
        <v>1</v>
      </c>
    </row>
    <row r="10" spans="1:11">
      <c r="A10" t="s">
        <v>37</v>
      </c>
      <c r="B10" t="s">
        <v>38</v>
      </c>
      <c r="C10" t="s">
        <v>39</v>
      </c>
      <c r="D10" t="s">
        <v>14</v>
      </c>
      <c r="E10" t="s">
        <v>40</v>
      </c>
      <c r="F10">
        <v>0</v>
      </c>
      <c r="G10">
        <v>1.33</v>
      </c>
      <c r="H10">
        <v>200</v>
      </c>
      <c r="I10">
        <v>1600</v>
      </c>
      <c r="J10" t="s">
        <v>41</v>
      </c>
      <c r="K10" t="b">
        <v>1</v>
      </c>
    </row>
    <row r="11" spans="1:11">
      <c r="A11" t="s">
        <v>42</v>
      </c>
      <c r="B11" t="s">
        <v>43</v>
      </c>
      <c r="C11" t="s">
        <v>39</v>
      </c>
      <c r="D11" t="s">
        <v>14</v>
      </c>
      <c r="E11" t="s">
        <v>40</v>
      </c>
      <c r="F11">
        <v>0</v>
      </c>
      <c r="G11">
        <v>1.45</v>
      </c>
      <c r="H11">
        <v>25</v>
      </c>
      <c r="I11">
        <v>25</v>
      </c>
      <c r="J11" t="s">
        <v>41</v>
      </c>
      <c r="K11" t="b">
        <v>1</v>
      </c>
    </row>
    <row r="12" spans="1:11">
      <c r="A12" t="s">
        <v>44</v>
      </c>
      <c r="B12" t="s">
        <v>45</v>
      </c>
      <c r="C12" t="s">
        <v>46</v>
      </c>
      <c r="D12" t="s">
        <v>14</v>
      </c>
      <c r="E12" t="s">
        <v>47</v>
      </c>
      <c r="F12">
        <v>0</v>
      </c>
      <c r="G12">
        <v>1</v>
      </c>
      <c r="H12">
        <v>300</v>
      </c>
      <c r="I12">
        <v>300</v>
      </c>
      <c r="J12" t="s">
        <v>16</v>
      </c>
      <c r="K12" t="b">
        <v>1</v>
      </c>
    </row>
  </sheetData>
  <phoneticPr fontId="4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K17"/>
  <sheetViews>
    <sheetView zoomScale="171" workbookViewId="0">
      <selection activeCell="I4" sqref="I4"/>
    </sheetView>
  </sheetViews>
  <sheetFormatPr baseColWidth="10" defaultColWidth="8.83203125" defaultRowHeight="14"/>
  <cols>
    <col min="1" max="1" width="25.6640625" customWidth="1"/>
    <col min="2" max="2" width="15.6640625" customWidth="1"/>
    <col min="3" max="3" width="10.5" customWidth="1"/>
    <col min="4" max="4" width="22" customWidth="1"/>
    <col min="7" max="7" width="20.6640625" customWidth="1"/>
  </cols>
  <sheetData>
    <row r="1" spans="1:11" ht="17">
      <c r="A1" s="1" t="s">
        <v>48</v>
      </c>
    </row>
    <row r="2" spans="1:11">
      <c r="A2" s="6" t="s">
        <v>49</v>
      </c>
      <c r="B2" s="6"/>
      <c r="C2" s="6"/>
      <c r="D2" s="6"/>
    </row>
    <row r="4" spans="1:11">
      <c r="A4" s="2" t="s">
        <v>50</v>
      </c>
      <c r="B4" s="3" t="s">
        <v>51</v>
      </c>
      <c r="D4" s="2" t="s">
        <v>57</v>
      </c>
      <c r="E4" s="4" t="b">
        <v>1</v>
      </c>
    </row>
    <row r="5" spans="1:11">
      <c r="A5" s="2" t="s">
        <v>52</v>
      </c>
      <c r="B5" s="3" t="s">
        <v>53</v>
      </c>
      <c r="D5" s="2" t="s">
        <v>58</v>
      </c>
      <c r="E5" s="4" t="b">
        <v>1</v>
      </c>
    </row>
    <row r="6" spans="1:11">
      <c r="D6" s="2" t="s">
        <v>59</v>
      </c>
      <c r="E6" s="4" t="b">
        <v>1</v>
      </c>
    </row>
    <row r="7" spans="1:11">
      <c r="A7" s="2" t="s">
        <v>54</v>
      </c>
      <c r="B7" s="4"/>
      <c r="D7" s="2" t="s">
        <v>60</v>
      </c>
      <c r="E7" s="4" t="b">
        <v>1</v>
      </c>
    </row>
    <row r="8" spans="1:11">
      <c r="A8" s="2" t="s">
        <v>55</v>
      </c>
      <c r="B8" s="4"/>
      <c r="D8" s="2" t="s">
        <v>61</v>
      </c>
      <c r="E8" s="4" t="b">
        <v>0</v>
      </c>
    </row>
    <row r="9" spans="1:11">
      <c r="A9" s="2" t="s">
        <v>56</v>
      </c>
      <c r="B9" s="4"/>
      <c r="D9" s="2" t="s">
        <v>62</v>
      </c>
      <c r="E9" s="4" t="b">
        <v>0</v>
      </c>
    </row>
    <row r="12" spans="1:11">
      <c r="A12" t="s">
        <v>63</v>
      </c>
      <c r="B12" t="s">
        <v>79</v>
      </c>
      <c r="C12" t="s">
        <v>80</v>
      </c>
      <c r="D12" t="s">
        <v>64</v>
      </c>
      <c r="E12" t="s">
        <v>65</v>
      </c>
      <c r="F12" t="s">
        <v>66</v>
      </c>
      <c r="G12" t="s">
        <v>67</v>
      </c>
      <c r="H12" t="s">
        <v>68</v>
      </c>
      <c r="I12" t="s">
        <v>69</v>
      </c>
      <c r="J12" t="s">
        <v>70</v>
      </c>
      <c r="K12" t="s">
        <v>2</v>
      </c>
    </row>
    <row r="13" spans="1:11">
      <c r="A13" t="s">
        <v>12</v>
      </c>
      <c r="B13">
        <v>100</v>
      </c>
      <c r="C13">
        <v>3</v>
      </c>
      <c r="D13" s="8">
        <v>0.29166666666666669</v>
      </c>
      <c r="E13" s="8">
        <v>0.5</v>
      </c>
      <c r="F13" s="8">
        <v>0.70833333333333337</v>
      </c>
      <c r="J13">
        <v>300</v>
      </c>
      <c r="K13" t="s">
        <v>81</v>
      </c>
    </row>
    <row r="14" spans="1:11">
      <c r="A14" t="s">
        <v>26</v>
      </c>
      <c r="B14">
        <v>16</v>
      </c>
      <c r="C14">
        <v>1</v>
      </c>
      <c r="D14" s="8">
        <v>0.29166666666666669</v>
      </c>
      <c r="J14">
        <v>320</v>
      </c>
      <c r="K14" t="s">
        <v>82</v>
      </c>
    </row>
    <row r="15" spans="1:11">
      <c r="A15" t="s">
        <v>43</v>
      </c>
      <c r="B15">
        <v>25</v>
      </c>
      <c r="C15">
        <v>1</v>
      </c>
      <c r="D15" s="8">
        <v>0.875</v>
      </c>
      <c r="J15">
        <v>0</v>
      </c>
      <c r="K15" t="s">
        <v>83</v>
      </c>
    </row>
    <row r="16" spans="1:11">
      <c r="A16" t="s">
        <v>12</v>
      </c>
      <c r="B16">
        <v>50</v>
      </c>
      <c r="C16">
        <v>3</v>
      </c>
      <c r="D16" s="8">
        <v>0.125</v>
      </c>
      <c r="E16" s="8">
        <v>0.20833333333333334</v>
      </c>
      <c r="F16" s="8">
        <v>0.79166666666666663</v>
      </c>
      <c r="J16">
        <v>150</v>
      </c>
      <c r="K16" t="s">
        <v>81</v>
      </c>
    </row>
    <row r="17" spans="1:11">
      <c r="A17" t="s">
        <v>12</v>
      </c>
      <c r="B17">
        <v>150</v>
      </c>
      <c r="C17">
        <v>1</v>
      </c>
      <c r="D17" s="8">
        <v>0.54166666666666663</v>
      </c>
      <c r="J17">
        <v>150</v>
      </c>
      <c r="K17" t="s">
        <v>81</v>
      </c>
    </row>
  </sheetData>
  <mergeCells count="1">
    <mergeCell ref="A2:D2"/>
  </mergeCells>
  <phoneticPr fontId="4"/>
  <dataValidations count="2">
    <dataValidation type="list" allowBlank="1" showInputMessage="1" showErrorMessage="1" sqref="E4:E9" xr:uid="{00000000-0002-0000-0100-000000000000}">
      <formula1>"TRUE,FALSE"</formula1>
    </dataValidation>
    <dataValidation type="list" allowBlank="1" showInputMessage="1" showErrorMessage="1" sqref="A13:A17" xr:uid="{00000000-0002-0000-0100-000006000000}">
      <formula1>INDIRECT("tblDrugMaster[DisplayName]")</formula1>
    </dataValidation>
  </dataValidation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 macro="[0]!ModuleLEDD.Recalc_All">
                <anchor moveWithCells="1" sizeWithCells="1">
                  <from>
                    <xdr:col>6</xdr:col>
                    <xdr:colOff>0</xdr:colOff>
                    <xdr:row>3</xdr:row>
                    <xdr:rowOff>0</xdr:rowOff>
                  </from>
                  <to>
                    <xdr:col>7</xdr:col>
                    <xdr:colOff>698500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4" name="Button 15">
              <controlPr defaultSize="0" print="0" autoFill="0" autoPict="0" macro="[0]!ModuleLEDD.Reset_Inputs">
                <anchor moveWithCells="1" sizeWithCells="1">
                  <from>
                    <xdr:col>6</xdr:col>
                    <xdr:colOff>63500</xdr:colOff>
                    <xdr:row>5</xdr:row>
                    <xdr:rowOff>152400</xdr:rowOff>
                  </from>
                  <to>
                    <xdr:col>7</xdr:col>
                    <xdr:colOff>12700</xdr:colOff>
                    <xdr:row>8</xdr:row>
                    <xdr:rowOff>0</xdr:rowOff>
                  </to>
                </anchor>
              </controlPr>
            </control>
          </mc:Choice>
        </mc:AlternateContent>
      </controls>
    </mc:Choice>
  </mc:AlternateContent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Q19"/>
  <sheetViews>
    <sheetView tabSelected="1" workbookViewId="0">
      <selection activeCell="D18" sqref="D18"/>
    </sheetView>
  </sheetViews>
  <sheetFormatPr baseColWidth="10" defaultColWidth="8.83203125" defaultRowHeight="14"/>
  <cols>
    <col min="1" max="17" width="12.6640625" customWidth="1"/>
  </cols>
  <sheetData>
    <row r="1" spans="1:17">
      <c r="A1" s="5" t="s">
        <v>71</v>
      </c>
    </row>
    <row r="3" spans="1:17">
      <c r="A3" s="2" t="s">
        <v>72</v>
      </c>
      <c r="B3" s="4">
        <v>870</v>
      </c>
    </row>
    <row r="4" spans="1:17">
      <c r="A4" s="2" t="s">
        <v>73</v>
      </c>
      <c r="B4" s="4">
        <v>320</v>
      </c>
    </row>
    <row r="5" spans="1:17">
      <c r="A5" s="2" t="s">
        <v>74</v>
      </c>
      <c r="B5" s="4">
        <v>0</v>
      </c>
    </row>
    <row r="6" spans="1:17">
      <c r="A6" s="2" t="s">
        <v>75</v>
      </c>
      <c r="B6" s="4">
        <v>1190</v>
      </c>
    </row>
    <row r="9" spans="1:17">
      <c r="A9" s="7" t="s">
        <v>76</v>
      </c>
      <c r="B9" s="7"/>
      <c r="C9" s="7"/>
      <c r="D9" s="7"/>
      <c r="E9" s="7"/>
      <c r="G9" s="7" t="s">
        <v>77</v>
      </c>
      <c r="H9" s="7"/>
      <c r="I9" s="7"/>
      <c r="J9" s="7"/>
      <c r="K9" s="7"/>
      <c r="M9" s="7" t="s">
        <v>78</v>
      </c>
      <c r="N9" s="7"/>
      <c r="O9" s="7"/>
      <c r="P9" s="7"/>
      <c r="Q9" s="7"/>
    </row>
    <row r="10" spans="1:17">
      <c r="A10" s="9">
        <v>0.25</v>
      </c>
      <c r="B10" s="2" t="s">
        <v>12</v>
      </c>
      <c r="C10" s="2">
        <v>100</v>
      </c>
      <c r="D10" s="2" t="s">
        <v>84</v>
      </c>
      <c r="E10" s="2"/>
      <c r="G10" s="9">
        <v>0.25</v>
      </c>
      <c r="H10" s="2" t="s">
        <v>12</v>
      </c>
      <c r="I10" s="2">
        <v>100</v>
      </c>
      <c r="J10" s="2" t="s">
        <v>85</v>
      </c>
      <c r="K10" s="2"/>
      <c r="M10" s="9">
        <v>0.25</v>
      </c>
      <c r="N10" s="2" t="s">
        <v>12</v>
      </c>
      <c r="O10" s="2">
        <v>100</v>
      </c>
      <c r="P10" s="2" t="s">
        <v>87</v>
      </c>
      <c r="Q10" s="2"/>
    </row>
    <row r="11" spans="1:17">
      <c r="A11" s="8">
        <v>0.25</v>
      </c>
      <c r="B11" t="s">
        <v>26</v>
      </c>
      <c r="C11">
        <v>16</v>
      </c>
      <c r="D11" t="s">
        <v>88</v>
      </c>
      <c r="G11" s="8">
        <v>0.25</v>
      </c>
      <c r="H11" t="s">
        <v>26</v>
      </c>
      <c r="I11">
        <v>16</v>
      </c>
      <c r="J11" t="s">
        <v>88</v>
      </c>
      <c r="M11" s="8">
        <v>0.25</v>
      </c>
      <c r="N11" t="s">
        <v>26</v>
      </c>
      <c r="O11">
        <v>16</v>
      </c>
      <c r="P11" t="s">
        <v>88</v>
      </c>
    </row>
    <row r="12" spans="1:17">
      <c r="A12" s="8">
        <v>0.25</v>
      </c>
      <c r="B12" t="s">
        <v>12</v>
      </c>
      <c r="C12">
        <v>50</v>
      </c>
      <c r="D12" t="s">
        <v>89</v>
      </c>
      <c r="G12" s="8">
        <v>0.25</v>
      </c>
      <c r="H12" t="s">
        <v>12</v>
      </c>
      <c r="I12">
        <v>50</v>
      </c>
      <c r="J12" t="s">
        <v>89</v>
      </c>
      <c r="M12" s="8">
        <v>0.25</v>
      </c>
      <c r="N12" t="s">
        <v>12</v>
      </c>
      <c r="O12">
        <v>50</v>
      </c>
      <c r="P12" t="s">
        <v>89</v>
      </c>
    </row>
    <row r="13" spans="1:17">
      <c r="A13" s="8">
        <v>0.25</v>
      </c>
      <c r="B13" t="s">
        <v>12</v>
      </c>
      <c r="C13">
        <v>150</v>
      </c>
      <c r="D13" t="s">
        <v>88</v>
      </c>
      <c r="G13" s="8">
        <v>0.25</v>
      </c>
      <c r="H13" t="s">
        <v>12</v>
      </c>
      <c r="I13">
        <v>150</v>
      </c>
      <c r="J13" t="s">
        <v>88</v>
      </c>
      <c r="M13" s="8">
        <v>0.25</v>
      </c>
      <c r="N13" t="s">
        <v>12</v>
      </c>
      <c r="O13">
        <v>150</v>
      </c>
      <c r="P13" t="s">
        <v>88</v>
      </c>
    </row>
    <row r="14" spans="1:17">
      <c r="A14" s="8">
        <v>0.48958333333333331</v>
      </c>
      <c r="B14" t="s">
        <v>12</v>
      </c>
      <c r="C14">
        <v>50</v>
      </c>
      <c r="D14" t="s">
        <v>89</v>
      </c>
      <c r="G14" s="8">
        <v>0.44791666666666669</v>
      </c>
      <c r="H14" t="s">
        <v>12</v>
      </c>
      <c r="I14">
        <v>50</v>
      </c>
      <c r="J14" t="s">
        <v>89</v>
      </c>
      <c r="M14" s="8">
        <v>0.42708333333333331</v>
      </c>
      <c r="N14" t="s">
        <v>12</v>
      </c>
      <c r="O14">
        <v>50</v>
      </c>
      <c r="P14" t="s">
        <v>89</v>
      </c>
    </row>
    <row r="15" spans="1:17">
      <c r="A15" s="8">
        <v>0.48958333333333331</v>
      </c>
      <c r="B15" t="s">
        <v>12</v>
      </c>
      <c r="C15">
        <v>100</v>
      </c>
      <c r="D15" t="s">
        <v>84</v>
      </c>
      <c r="G15" s="8">
        <v>0.44791666666666669</v>
      </c>
      <c r="H15" t="s">
        <v>12</v>
      </c>
      <c r="I15">
        <v>100</v>
      </c>
      <c r="J15" t="s">
        <v>86</v>
      </c>
      <c r="M15" s="8">
        <v>0.42708333333333331</v>
      </c>
      <c r="N15" t="s">
        <v>12</v>
      </c>
      <c r="O15">
        <v>100</v>
      </c>
      <c r="P15" t="s">
        <v>87</v>
      </c>
    </row>
    <row r="16" spans="1:17">
      <c r="A16" s="8">
        <v>0.71875</v>
      </c>
      <c r="B16" t="s">
        <v>12</v>
      </c>
      <c r="C16">
        <v>50</v>
      </c>
      <c r="D16" t="s">
        <v>89</v>
      </c>
      <c r="G16" s="8">
        <v>0.70833333333333337</v>
      </c>
      <c r="H16" t="s">
        <v>12</v>
      </c>
      <c r="I16">
        <v>50</v>
      </c>
      <c r="J16" t="s">
        <v>89</v>
      </c>
      <c r="M16" s="8">
        <v>0.60416666666666663</v>
      </c>
      <c r="N16" t="s">
        <v>12</v>
      </c>
      <c r="O16">
        <v>50</v>
      </c>
      <c r="P16" t="s">
        <v>89</v>
      </c>
    </row>
    <row r="17" spans="1:16">
      <c r="A17" s="8">
        <v>0.71875</v>
      </c>
      <c r="B17" t="s">
        <v>12</v>
      </c>
      <c r="C17">
        <v>100</v>
      </c>
      <c r="D17" t="s">
        <v>84</v>
      </c>
      <c r="G17" s="8">
        <v>0.70833333333333337</v>
      </c>
      <c r="H17" t="s">
        <v>12</v>
      </c>
      <c r="I17">
        <v>100</v>
      </c>
      <c r="J17" t="s">
        <v>84</v>
      </c>
      <c r="M17" s="8">
        <v>0.60416666666666663</v>
      </c>
      <c r="N17" t="s">
        <v>12</v>
      </c>
      <c r="O17">
        <v>100</v>
      </c>
      <c r="P17" t="s">
        <v>87</v>
      </c>
    </row>
    <row r="18" spans="1:16">
      <c r="A18" s="8">
        <v>0.95833333333333337</v>
      </c>
      <c r="B18" t="s">
        <v>43</v>
      </c>
      <c r="C18">
        <v>25</v>
      </c>
      <c r="D18" t="s">
        <v>88</v>
      </c>
      <c r="G18" s="8">
        <v>0.95833333333333337</v>
      </c>
      <c r="H18" t="s">
        <v>43</v>
      </c>
      <c r="I18">
        <v>25</v>
      </c>
      <c r="J18" t="s">
        <v>88</v>
      </c>
      <c r="M18" s="8">
        <v>0.78125</v>
      </c>
      <c r="N18" t="s">
        <v>12</v>
      </c>
      <c r="O18">
        <v>100</v>
      </c>
      <c r="P18" t="s">
        <v>87</v>
      </c>
    </row>
    <row r="19" spans="1:16">
      <c r="M19" s="8">
        <v>0.95833333333333337</v>
      </c>
      <c r="N19" t="s">
        <v>43</v>
      </c>
      <c r="O19">
        <v>25</v>
      </c>
      <c r="P19" t="s">
        <v>88</v>
      </c>
    </row>
  </sheetData>
  <mergeCells count="3">
    <mergeCell ref="A9:E9"/>
    <mergeCell ref="G9:K9"/>
    <mergeCell ref="M9:Q9"/>
  </mergeCells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DrugMaster</vt:lpstr>
      <vt:lpstr>Input</vt:lpstr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Morihiro yamamoto</cp:lastModifiedBy>
  <dcterms:created xsi:type="dcterms:W3CDTF">2026-01-09T03:25:55Z</dcterms:created>
  <dcterms:modified xsi:type="dcterms:W3CDTF">2026-01-09T06:07:24Z</dcterms:modified>
</cp:coreProperties>
</file>